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B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Formula_Playground" sheetId="3" state="visible" r:id="rId3"/>
    <sheet xmlns:r="http://schemas.openxmlformats.org/officeDocument/2006/relationships" name="Pivot_Dashboard" sheetId="4" state="visible" r:id="rId4"/>
    <sheet xmlns:r="http://schemas.openxmlformats.org/officeDocument/2006/relationships" name="Array_Advanced" sheetId="5" state="visible" r:id="rId5"/>
    <sheet xmlns:r="http://schemas.openxmlformats.org/officeDocument/2006/relationships" name="How_To_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7030A0"/>
      <sz val="9"/>
    </font>
    <font>
      <name val="Arial"/>
      <color rgb="001F4E79"/>
      <sz val="10"/>
    </font>
    <font>
      <name val="Arial"/>
      <b val="1"/>
      <color rgb="001F4E7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164" fontId="3" fillId="6" borderId="1" applyAlignment="1" pivotButton="0" quotePrefix="0" xfId="0">
      <alignment horizontal="center"/>
    </xf>
    <xf numFmtId="0" fontId="4" fillId="7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3" fillId="0" borderId="0" pivotButton="0" quotePrefix="0" xfId="0"/>
    <xf numFmtId="0" fontId="5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4" fontId="7" fillId="5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5" fontId="0" fillId="8" borderId="1" applyAlignment="1" pivotButton="0" quotePrefix="0" xfId="0">
      <alignment horizontal="center"/>
    </xf>
    <xf numFmtId="3" fontId="7" fillId="5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49" fontId="7" fillId="5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wrapText="1"/>
    </xf>
    <xf numFmtId="0" fontId="3" fillId="4" borderId="1" pivotButton="0" quotePrefix="0" xfId="0"/>
    <xf numFmtId="0" fontId="5" fillId="6" borderId="1" pivotButton="0" quotePrefix="0" xfId="0"/>
    <xf numFmtId="0" fontId="6" fillId="6" borderId="1" applyAlignment="1" pivotButton="0" quotePrefix="0" xfId="0">
      <alignment wrapText="1"/>
    </xf>
    <xf numFmtId="0" fontId="3" fillId="6" borderId="1" pivotButton="0" quotePrefix="0" xfId="0"/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📋  EMPLOYEE DATABASE</t>
        </is>
      </c>
    </row>
    <row r="2">
      <c r="A2" s="2" t="inlineStr">
        <is>
          <t>Emp ID</t>
        </is>
      </c>
      <c r="B2" s="2" t="inlineStr">
        <is>
          <t>Name</t>
        </is>
      </c>
      <c r="C2" s="2" t="inlineStr">
        <is>
          <t>Department</t>
        </is>
      </c>
      <c r="D2" s="2" t="inlineStr">
        <is>
          <t>Salary</t>
        </is>
      </c>
      <c r="E2" s="2" t="inlineStr">
        <is>
          <t>Join Date</t>
        </is>
      </c>
      <c r="F2" s="2" t="inlineStr">
        <is>
          <t>Region</t>
        </is>
      </c>
      <c r="G2" s="2" t="inlineStr">
        <is>
          <t>Grade</t>
        </is>
      </c>
      <c r="H2" s="2" t="inlineStr">
        <is>
          <t>Status</t>
        </is>
      </c>
    </row>
    <row r="3">
      <c r="A3" s="3" t="inlineStr">
        <is>
          <t>E001</t>
        </is>
      </c>
      <c r="B3" s="3" t="inlineStr">
        <is>
          <t>Priya Sharma</t>
        </is>
      </c>
      <c r="C3" s="3" t="inlineStr">
        <is>
          <t>Sales</t>
        </is>
      </c>
      <c r="D3" s="3" t="n">
        <v>75000</v>
      </c>
      <c r="E3" s="3" t="inlineStr">
        <is>
          <t>2020-03-15</t>
        </is>
      </c>
      <c r="F3" s="3" t="inlineStr">
        <is>
          <t>West</t>
        </is>
      </c>
      <c r="G3" s="3" t="inlineStr">
        <is>
          <t>A</t>
        </is>
      </c>
      <c r="H3" s="3" t="inlineStr">
        <is>
          <t>Active</t>
        </is>
      </c>
    </row>
    <row r="4">
      <c r="A4" s="4" t="inlineStr">
        <is>
          <t>E002</t>
        </is>
      </c>
      <c r="B4" s="4" t="inlineStr">
        <is>
          <t>Rahul Mehta</t>
        </is>
      </c>
      <c r="C4" s="4" t="inlineStr">
        <is>
          <t>IT</t>
        </is>
      </c>
      <c r="D4" s="4" t="n">
        <v>90000</v>
      </c>
      <c r="E4" s="4" t="inlineStr">
        <is>
          <t>2019-07-22</t>
        </is>
      </c>
      <c r="F4" s="4" t="inlineStr">
        <is>
          <t>North</t>
        </is>
      </c>
      <c r="G4" s="4" t="inlineStr">
        <is>
          <t>A+</t>
        </is>
      </c>
      <c r="H4" s="4" t="inlineStr">
        <is>
          <t>Active</t>
        </is>
      </c>
    </row>
    <row r="5">
      <c r="A5" s="3" t="inlineStr">
        <is>
          <t>E003</t>
        </is>
      </c>
      <c r="B5" s="3" t="inlineStr">
        <is>
          <t>Anjali Singh</t>
        </is>
      </c>
      <c r="C5" s="3" t="inlineStr">
        <is>
          <t>HR</t>
        </is>
      </c>
      <c r="D5" s="3" t="n">
        <v>65000</v>
      </c>
      <c r="E5" s="3" t="inlineStr">
        <is>
          <t>2021-01-10</t>
        </is>
      </c>
      <c r="F5" s="3" t="inlineStr">
        <is>
          <t>South</t>
        </is>
      </c>
      <c r="G5" s="3" t="inlineStr">
        <is>
          <t>B</t>
        </is>
      </c>
      <c r="H5" s="3" t="inlineStr">
        <is>
          <t>Active</t>
        </is>
      </c>
    </row>
    <row r="6">
      <c r="A6" s="4" t="inlineStr">
        <is>
          <t>E004</t>
        </is>
      </c>
      <c r="B6" s="4" t="inlineStr">
        <is>
          <t>Vikram Nair</t>
        </is>
      </c>
      <c r="C6" s="4" t="inlineStr">
        <is>
          <t>Finance</t>
        </is>
      </c>
      <c r="D6" s="4" t="n">
        <v>85000</v>
      </c>
      <c r="E6" s="4" t="inlineStr">
        <is>
          <t>2018-11-30</t>
        </is>
      </c>
      <c r="F6" s="4" t="inlineStr">
        <is>
          <t>East</t>
        </is>
      </c>
      <c r="G6" s="4" t="inlineStr">
        <is>
          <t>A</t>
        </is>
      </c>
      <c r="H6" s="4" t="inlineStr">
        <is>
          <t>Active</t>
        </is>
      </c>
    </row>
    <row r="7">
      <c r="A7" s="3" t="inlineStr">
        <is>
          <t>E005</t>
        </is>
      </c>
      <c r="B7" s="3" t="inlineStr">
        <is>
          <t>Sneha Patel</t>
        </is>
      </c>
      <c r="C7" s="3" t="inlineStr">
        <is>
          <t>Sales</t>
        </is>
      </c>
      <c r="D7" s="3" t="n">
        <v>70000</v>
      </c>
      <c r="E7" s="3" t="inlineStr">
        <is>
          <t>2022-05-18</t>
        </is>
      </c>
      <c r="F7" s="3" t="inlineStr">
        <is>
          <t>West</t>
        </is>
      </c>
      <c r="G7" s="3" t="inlineStr">
        <is>
          <t>B+</t>
        </is>
      </c>
      <c r="H7" s="3" t="inlineStr">
        <is>
          <t>Active</t>
        </is>
      </c>
    </row>
    <row r="8">
      <c r="A8" s="4" t="inlineStr">
        <is>
          <t>E006</t>
        </is>
      </c>
      <c r="B8" s="4" t="inlineStr">
        <is>
          <t>Arjun Kapoor</t>
        </is>
      </c>
      <c r="C8" s="4" t="inlineStr">
        <is>
          <t>IT</t>
        </is>
      </c>
      <c r="D8" s="4" t="n">
        <v>95000</v>
      </c>
      <c r="E8" s="4" t="inlineStr">
        <is>
          <t>2017-09-05</t>
        </is>
      </c>
      <c r="F8" s="4" t="inlineStr">
        <is>
          <t>North</t>
        </is>
      </c>
      <c r="G8" s="4" t="inlineStr">
        <is>
          <t>A+</t>
        </is>
      </c>
      <c r="H8" s="4" t="inlineStr">
        <is>
          <t>Active</t>
        </is>
      </c>
    </row>
    <row r="9">
      <c r="A9" s="3" t="inlineStr">
        <is>
          <t>E007</t>
        </is>
      </c>
      <c r="B9" s="3" t="inlineStr">
        <is>
          <t>Meera Joshi</t>
        </is>
      </c>
      <c r="C9" s="3" t="inlineStr">
        <is>
          <t>HR</t>
        </is>
      </c>
      <c r="D9" s="3" t="n">
        <v>62000</v>
      </c>
      <c r="E9" s="3" t="inlineStr">
        <is>
          <t>2023-02-28</t>
        </is>
      </c>
      <c r="F9" s="3" t="inlineStr">
        <is>
          <t>South</t>
        </is>
      </c>
      <c r="G9" s="3" t="inlineStr">
        <is>
          <t>B</t>
        </is>
      </c>
      <c r="H9" s="3" t="inlineStr">
        <is>
          <t>Active</t>
        </is>
      </c>
    </row>
    <row r="10">
      <c r="A10" s="4" t="inlineStr">
        <is>
          <t>E008</t>
        </is>
      </c>
      <c r="B10" s="4" t="inlineStr">
        <is>
          <t>Rohit Gupta</t>
        </is>
      </c>
      <c r="C10" s="4" t="inlineStr">
        <is>
          <t>Finance</t>
        </is>
      </c>
      <c r="D10" s="4" t="n">
        <v>88000</v>
      </c>
      <c r="E10" s="4" t="inlineStr">
        <is>
          <t>2019-04-14</t>
        </is>
      </c>
      <c r="F10" s="4" t="inlineStr">
        <is>
          <t>East</t>
        </is>
      </c>
      <c r="G10" s="4" t="inlineStr">
        <is>
          <t>A</t>
        </is>
      </c>
      <c r="H10" s="4" t="inlineStr">
        <is>
          <t>Inactive</t>
        </is>
      </c>
    </row>
    <row r="11">
      <c r="A11" s="3" t="inlineStr">
        <is>
          <t>E009</t>
        </is>
      </c>
      <c r="B11" s="3" t="inlineStr">
        <is>
          <t>Kavya Reddy</t>
        </is>
      </c>
      <c r="C11" s="3" t="inlineStr">
        <is>
          <t>Sales</t>
        </is>
      </c>
      <c r="D11" s="3" t="n">
        <v>72000</v>
      </c>
      <c r="E11" s="3" t="inlineStr">
        <is>
          <t>2021-08-20</t>
        </is>
      </c>
      <c r="F11" s="3" t="inlineStr">
        <is>
          <t>West</t>
        </is>
      </c>
      <c r="G11" s="3" t="inlineStr">
        <is>
          <t>B+</t>
        </is>
      </c>
      <c r="H11" s="3" t="inlineStr">
        <is>
          <t>Active</t>
        </is>
      </c>
    </row>
    <row r="12">
      <c r="A12" s="4" t="inlineStr">
        <is>
          <t>E010</t>
        </is>
      </c>
      <c r="B12" s="4" t="inlineStr">
        <is>
          <t>Suresh Kumar</t>
        </is>
      </c>
      <c r="C12" s="4" t="inlineStr">
        <is>
          <t>IT</t>
        </is>
      </c>
      <c r="D12" s="4" t="n">
        <v>98000</v>
      </c>
      <c r="E12" s="4" t="inlineStr">
        <is>
          <t>2016-12-01</t>
        </is>
      </c>
      <c r="F12" s="4" t="inlineStr">
        <is>
          <t>North</t>
        </is>
      </c>
      <c r="G12" s="4" t="inlineStr">
        <is>
          <t>A+</t>
        </is>
      </c>
      <c r="H12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0" customWidth="1" min="5" max="5"/>
    <col width="14" customWidth="1" min="6" max="6"/>
  </cols>
  <sheetData>
    <row r="1" ht="30" customHeight="1">
      <c r="A1" s="1" t="inlineStr">
        <is>
          <t>💰  SALES DATA</t>
        </is>
      </c>
    </row>
    <row r="2">
      <c r="A2" s="2" t="inlineStr">
        <is>
          <t>Month</t>
        </is>
      </c>
      <c r="B2" s="2" t="inlineStr">
        <is>
          <t>Region</t>
        </is>
      </c>
      <c r="C2" s="2" t="inlineStr">
        <is>
          <t>Product</t>
        </is>
      </c>
      <c r="D2" s="2" t="inlineStr">
        <is>
          <t>Salesperson</t>
        </is>
      </c>
      <c r="E2" s="2" t="inlineStr">
        <is>
          <t>Units</t>
        </is>
      </c>
      <c r="F2" s="2" t="inlineStr">
        <is>
          <t>Revenue</t>
        </is>
      </c>
    </row>
    <row r="3">
      <c r="A3" s="3" t="inlineStr">
        <is>
          <t>Jan</t>
        </is>
      </c>
      <c r="B3" s="3" t="inlineStr">
        <is>
          <t>North</t>
        </is>
      </c>
      <c r="C3" s="3" t="inlineStr">
        <is>
          <t>Laptop</t>
        </is>
      </c>
      <c r="D3" s="3" t="inlineStr">
        <is>
          <t>Rahul</t>
        </is>
      </c>
      <c r="E3" s="3" t="n">
        <v>45</v>
      </c>
      <c r="F3" s="5" t="n">
        <v>450000</v>
      </c>
    </row>
    <row r="4">
      <c r="A4" s="6" t="inlineStr">
        <is>
          <t>Jan</t>
        </is>
      </c>
      <c r="B4" s="6" t="inlineStr">
        <is>
          <t>South</t>
        </is>
      </c>
      <c r="C4" s="6" t="inlineStr">
        <is>
          <t>Phone</t>
        </is>
      </c>
      <c r="D4" s="6" t="inlineStr">
        <is>
          <t>Anjali</t>
        </is>
      </c>
      <c r="E4" s="6" t="n">
        <v>80</v>
      </c>
      <c r="F4" s="7" t="n">
        <v>240000</v>
      </c>
    </row>
    <row r="5">
      <c r="A5" s="3" t="inlineStr">
        <is>
          <t>Jan</t>
        </is>
      </c>
      <c r="B5" s="3" t="inlineStr">
        <is>
          <t>West</t>
        </is>
      </c>
      <c r="C5" s="3" t="inlineStr">
        <is>
          <t>Tablet</t>
        </is>
      </c>
      <c r="D5" s="3" t="inlineStr">
        <is>
          <t>Priya</t>
        </is>
      </c>
      <c r="E5" s="3" t="n">
        <v>60</v>
      </c>
      <c r="F5" s="5" t="n">
        <v>180000</v>
      </c>
    </row>
    <row r="6">
      <c r="A6" s="6" t="inlineStr">
        <is>
          <t>Feb</t>
        </is>
      </c>
      <c r="B6" s="6" t="inlineStr">
        <is>
          <t>North</t>
        </is>
      </c>
      <c r="C6" s="6" t="inlineStr">
        <is>
          <t>Laptop</t>
        </is>
      </c>
      <c r="D6" s="6" t="inlineStr">
        <is>
          <t>Arjun</t>
        </is>
      </c>
      <c r="E6" s="6" t="n">
        <v>52</v>
      </c>
      <c r="F6" s="7" t="n">
        <v>520000</v>
      </c>
    </row>
    <row r="7">
      <c r="A7" s="3" t="inlineStr">
        <is>
          <t>Feb</t>
        </is>
      </c>
      <c r="B7" s="3" t="inlineStr">
        <is>
          <t>East</t>
        </is>
      </c>
      <c r="C7" s="3" t="inlineStr">
        <is>
          <t>Phone</t>
        </is>
      </c>
      <c r="D7" s="3" t="inlineStr">
        <is>
          <t>Vikram</t>
        </is>
      </c>
      <c r="E7" s="3" t="n">
        <v>90</v>
      </c>
      <c r="F7" s="5" t="n">
        <v>270000</v>
      </c>
    </row>
    <row r="8">
      <c r="A8" s="6" t="inlineStr">
        <is>
          <t>Feb</t>
        </is>
      </c>
      <c r="B8" s="6" t="inlineStr">
        <is>
          <t>West</t>
        </is>
      </c>
      <c r="C8" s="6" t="inlineStr">
        <is>
          <t>Tablet</t>
        </is>
      </c>
      <c r="D8" s="6" t="inlineStr">
        <is>
          <t>Sneha</t>
        </is>
      </c>
      <c r="E8" s="6" t="n">
        <v>70</v>
      </c>
      <c r="F8" s="7" t="n">
        <v>210000</v>
      </c>
    </row>
    <row r="9">
      <c r="A9" s="3" t="inlineStr">
        <is>
          <t>Mar</t>
        </is>
      </c>
      <c r="B9" s="3" t="inlineStr">
        <is>
          <t>North</t>
        </is>
      </c>
      <c r="C9" s="3" t="inlineStr">
        <is>
          <t>Laptop</t>
        </is>
      </c>
      <c r="D9" s="3" t="inlineStr">
        <is>
          <t>Suresh</t>
        </is>
      </c>
      <c r="E9" s="3" t="n">
        <v>48</v>
      </c>
      <c r="F9" s="5" t="n">
        <v>480000</v>
      </c>
    </row>
    <row r="10">
      <c r="A10" s="6" t="inlineStr">
        <is>
          <t>Mar</t>
        </is>
      </c>
      <c r="B10" s="6" t="inlineStr">
        <is>
          <t>South</t>
        </is>
      </c>
      <c r="C10" s="6" t="inlineStr">
        <is>
          <t>Phone</t>
        </is>
      </c>
      <c r="D10" s="6" t="inlineStr">
        <is>
          <t>Meera</t>
        </is>
      </c>
      <c r="E10" s="6" t="n">
        <v>95</v>
      </c>
      <c r="F10" s="7" t="n">
        <v>285000</v>
      </c>
    </row>
    <row r="11">
      <c r="A11" s="3" t="inlineStr">
        <is>
          <t>Mar</t>
        </is>
      </c>
      <c r="B11" s="3" t="inlineStr">
        <is>
          <t>East</t>
        </is>
      </c>
      <c r="C11" s="3" t="inlineStr">
        <is>
          <t>Tablet</t>
        </is>
      </c>
      <c r="D11" s="3" t="inlineStr">
        <is>
          <t>Rohit</t>
        </is>
      </c>
      <c r="E11" s="3" t="n">
        <v>65</v>
      </c>
      <c r="F11" s="5" t="n">
        <v>195000</v>
      </c>
    </row>
    <row r="12">
      <c r="A12" s="6" t="inlineStr">
        <is>
          <t>Apr</t>
        </is>
      </c>
      <c r="B12" s="6" t="inlineStr">
        <is>
          <t>West</t>
        </is>
      </c>
      <c r="C12" s="6" t="inlineStr">
        <is>
          <t>Laptop</t>
        </is>
      </c>
      <c r="D12" s="6" t="inlineStr">
        <is>
          <t>Priya</t>
        </is>
      </c>
      <c r="E12" s="6" t="n">
        <v>55</v>
      </c>
      <c r="F12" s="7" t="n">
        <v>550000</v>
      </c>
    </row>
    <row r="13">
      <c r="A13" s="3" t="inlineStr">
        <is>
          <t>Apr</t>
        </is>
      </c>
      <c r="B13" s="3" t="inlineStr">
        <is>
          <t>North</t>
        </is>
      </c>
      <c r="C13" s="3" t="inlineStr">
        <is>
          <t>Phone</t>
        </is>
      </c>
      <c r="D13" s="3" t="inlineStr">
        <is>
          <t>Rahul</t>
        </is>
      </c>
      <c r="E13" s="3" t="n">
        <v>85</v>
      </c>
      <c r="F13" s="5" t="n">
        <v>255000</v>
      </c>
    </row>
    <row r="14">
      <c r="A14" s="6" t="inlineStr">
        <is>
          <t>Apr</t>
        </is>
      </c>
      <c r="B14" s="6" t="inlineStr">
        <is>
          <t>South</t>
        </is>
      </c>
      <c r="C14" s="6" t="inlineStr">
        <is>
          <t>Tablet</t>
        </is>
      </c>
      <c r="D14" s="6" t="inlineStr">
        <is>
          <t>Anjali</t>
        </is>
      </c>
      <c r="E14" s="6" t="n">
        <v>75</v>
      </c>
      <c r="F14" s="7" t="n">
        <v>225000</v>
      </c>
    </row>
    <row r="15">
      <c r="A15" s="3" t="inlineStr">
        <is>
          <t>May</t>
        </is>
      </c>
      <c r="B15" s="3" t="inlineStr">
        <is>
          <t>East</t>
        </is>
      </c>
      <c r="C15" s="3" t="inlineStr">
        <is>
          <t>Laptop</t>
        </is>
      </c>
      <c r="D15" s="3" t="inlineStr">
        <is>
          <t>Vikram</t>
        </is>
      </c>
      <c r="E15" s="3" t="n">
        <v>60</v>
      </c>
      <c r="F15" s="5" t="n">
        <v>600000</v>
      </c>
    </row>
    <row r="16">
      <c r="A16" s="6" t="inlineStr">
        <is>
          <t>May</t>
        </is>
      </c>
      <c r="B16" s="6" t="inlineStr">
        <is>
          <t>West</t>
        </is>
      </c>
      <c r="C16" s="6" t="inlineStr">
        <is>
          <t>Phone</t>
        </is>
      </c>
      <c r="D16" s="6" t="inlineStr">
        <is>
          <t>Kavya</t>
        </is>
      </c>
      <c r="E16" s="6" t="n">
        <v>100</v>
      </c>
      <c r="F16" s="7" t="n">
        <v>300000</v>
      </c>
    </row>
    <row r="17">
      <c r="A17" s="3" t="inlineStr">
        <is>
          <t>May</t>
        </is>
      </c>
      <c r="B17" s="3" t="inlineStr">
        <is>
          <t>North</t>
        </is>
      </c>
      <c r="C17" s="3" t="inlineStr">
        <is>
          <t>Tablet</t>
        </is>
      </c>
      <c r="D17" s="3" t="inlineStr">
        <is>
          <t>Arjun</t>
        </is>
      </c>
      <c r="E17" s="3" t="n">
        <v>80</v>
      </c>
      <c r="F17" s="5" t="n">
        <v>240000</v>
      </c>
    </row>
    <row r="18">
      <c r="A18" s="6" t="inlineStr">
        <is>
          <t>Jun</t>
        </is>
      </c>
      <c r="B18" s="6" t="inlineStr">
        <is>
          <t>South</t>
        </is>
      </c>
      <c r="C18" s="6" t="inlineStr">
        <is>
          <t>Laptop</t>
        </is>
      </c>
      <c r="D18" s="6" t="inlineStr">
        <is>
          <t>Meera</t>
        </is>
      </c>
      <c r="E18" s="6" t="n">
        <v>50</v>
      </c>
      <c r="F18" s="7" t="n">
        <v>500000</v>
      </c>
    </row>
    <row r="19">
      <c r="A19" s="3" t="inlineStr">
        <is>
          <t>Jun</t>
        </is>
      </c>
      <c r="B19" s="3" t="inlineStr">
        <is>
          <t>East</t>
        </is>
      </c>
      <c r="C19" s="3" t="inlineStr">
        <is>
          <t>Phone</t>
        </is>
      </c>
      <c r="D19" s="3" t="inlineStr">
        <is>
          <t>Rohit</t>
        </is>
      </c>
      <c r="E19" s="3" t="n">
        <v>88</v>
      </c>
      <c r="F19" s="5" t="n">
        <v>264000</v>
      </c>
    </row>
    <row r="20">
      <c r="A20" s="6" t="inlineStr">
        <is>
          <t>Jun</t>
        </is>
      </c>
      <c r="B20" s="6" t="inlineStr">
        <is>
          <t>West</t>
        </is>
      </c>
      <c r="C20" s="6" t="inlineStr">
        <is>
          <t>Tablet</t>
        </is>
      </c>
      <c r="D20" s="6" t="inlineStr">
        <is>
          <t>Kavya</t>
        </is>
      </c>
      <c r="E20" s="6" t="n">
        <v>72</v>
      </c>
      <c r="F20" s="7" t="n">
        <v>216000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62" customWidth="1" min="3" max="3"/>
    <col width="30" customWidth="1" min="4" max="4"/>
  </cols>
  <sheetData>
    <row r="1" ht="32" customHeight="1">
      <c r="A1" s="1" t="inlineStr">
        <is>
          <t>🔬  ADVANCED EXCEL FORMULA PLAYGROUND</t>
        </is>
      </c>
    </row>
    <row r="3" ht="18" customHeight="1">
      <c r="A3" s="2" t="inlineStr">
        <is>
          <t>A ▸ LOOKUP FORMULAS</t>
        </is>
      </c>
    </row>
    <row r="4" ht="18" customHeight="1">
      <c r="B4" s="8" t="inlineStr">
        <is>
          <t>Formula</t>
        </is>
      </c>
      <c r="C4" s="8" t="inlineStr">
        <is>
          <t>Description</t>
        </is>
      </c>
      <c r="D4" s="8" t="inlineStr">
        <is>
          <t>Result</t>
        </is>
      </c>
    </row>
    <row r="5" ht="18" customHeight="1">
      <c r="B5" s="9" t="inlineStr">
        <is>
          <t>VLOOKUP</t>
        </is>
      </c>
      <c r="C5" s="10">
        <f>VLOOKUP("E003",Employee_DB!A3:H12,3,FALSE)</f>
        <v/>
      </c>
      <c r="D5" s="11" t="inlineStr">
        <is>
          <t>Find Dept of E003</t>
        </is>
      </c>
    </row>
    <row r="6" ht="18" customHeight="1">
      <c r="B6" s="9" t="inlineStr">
        <is>
          <t>HLOOKUP</t>
        </is>
      </c>
      <c r="C6" s="10">
        <f>HLOOKUP("Salary",Employee_DB!A2:H12,2,FALSE)</f>
        <v/>
      </c>
      <c r="D6" s="11" t="inlineStr">
        <is>
          <t>Find 1st Salary row</t>
        </is>
      </c>
    </row>
    <row r="7" ht="18" customHeight="1">
      <c r="B7" s="9" t="inlineStr">
        <is>
          <t>INDEX</t>
        </is>
      </c>
      <c r="C7" s="10">
        <f>INDEX(Employee_DB!B3:B12,3)</f>
        <v/>
      </c>
      <c r="D7" s="11" t="inlineStr">
        <is>
          <t>3rd Employee Name</t>
        </is>
      </c>
    </row>
    <row r="8" ht="18" customHeight="1">
      <c r="B8" s="9" t="inlineStr">
        <is>
          <t>MATCH</t>
        </is>
      </c>
      <c r="C8" s="10">
        <f>MATCH("E005",Employee_DB!A3:A12,0)</f>
        <v/>
      </c>
      <c r="D8" s="11" t="inlineStr">
        <is>
          <t>Row # of E005</t>
        </is>
      </c>
    </row>
    <row r="9" ht="18" customHeight="1">
      <c r="B9" s="9" t="inlineStr">
        <is>
          <t>INDEX+MATCH</t>
        </is>
      </c>
      <c r="C9" s="10">
        <f>INDEX(Employee_DB!B3:B12,MATCH("E007",Employee_DB!A3:A12,0))</f>
        <v/>
      </c>
      <c r="D9" s="11" t="inlineStr">
        <is>
          <t>Name for E007</t>
        </is>
      </c>
    </row>
    <row r="10" ht="18" customHeight="1">
      <c r="B10" s="9" t="inlineStr">
        <is>
          <t>XLOOKUP</t>
        </is>
      </c>
      <c r="C10" s="10">
        <f>XLOOKUP("E002",Employee_DB!A3:A12,Employee_DB!C3:C12,"Not Found")</f>
        <v/>
      </c>
      <c r="D10" s="11" t="inlineStr">
        <is>
          <t>Dept of E002</t>
        </is>
      </c>
    </row>
    <row r="11" ht="18" customHeight="1">
      <c r="B11" s="9" t="inlineStr">
        <is>
          <t>XMATCH</t>
        </is>
      </c>
      <c r="C11" s="10">
        <f>XMATCH("Finance",Employee_DB!C3:C12)</f>
        <v/>
      </c>
      <c r="D11" s="11" t="inlineStr">
        <is>
          <t>Finance row #</t>
        </is>
      </c>
    </row>
    <row r="12" ht="18" customHeight="1"/>
    <row r="13" ht="18" customHeight="1">
      <c r="A13" s="2" t="inlineStr">
        <is>
          <t>B ▸ MATH &amp; STATISTICAL FORMULAS</t>
        </is>
      </c>
    </row>
    <row r="14" ht="18" customHeight="1">
      <c r="B14" s="8" t="inlineStr">
        <is>
          <t>Formula</t>
        </is>
      </c>
      <c r="C14" s="8" t="inlineStr">
        <is>
          <t>Description</t>
        </is>
      </c>
      <c r="D14" s="8" t="inlineStr">
        <is>
          <t>Result</t>
        </is>
      </c>
    </row>
    <row r="15" ht="18" customHeight="1">
      <c r="B15" s="9" t="inlineStr">
        <is>
          <t>SUM</t>
        </is>
      </c>
      <c r="C15" s="10">
        <f>SUM(Employee_DB!D3:D12)</f>
        <v/>
      </c>
      <c r="D15" s="11" t="inlineStr">
        <is>
          <t>Total Salaries</t>
        </is>
      </c>
    </row>
    <row r="16" ht="18" customHeight="1">
      <c r="B16" s="9" t="inlineStr">
        <is>
          <t>AVERAGE</t>
        </is>
      </c>
      <c r="C16" s="10">
        <f>AVERAGE(Employee_DB!D3:D12)</f>
        <v/>
      </c>
      <c r="D16" s="11" t="inlineStr">
        <is>
          <t>Avg Salary</t>
        </is>
      </c>
    </row>
    <row r="17" ht="18" customHeight="1">
      <c r="B17" s="9" t="inlineStr">
        <is>
          <t>MAX / MIN</t>
        </is>
      </c>
      <c r="C17" s="10">
        <f>MAX(Employee_DB!D3:D12)</f>
        <v/>
      </c>
      <c r="D17" s="11" t="inlineStr">
        <is>
          <t>Highest Salary</t>
        </is>
      </c>
    </row>
    <row r="18" ht="18" customHeight="1">
      <c r="B18" s="9" t="inlineStr">
        <is>
          <t>COUNT</t>
        </is>
      </c>
      <c r="C18" s="10">
        <f>COUNT(Employee_DB!D3:D12)</f>
        <v/>
      </c>
      <c r="D18" s="11" t="inlineStr">
        <is>
          <t>Count of salaries</t>
        </is>
      </c>
    </row>
    <row r="19" ht="18" customHeight="1">
      <c r="B19" s="9" t="inlineStr">
        <is>
          <t>COUNTA</t>
        </is>
      </c>
      <c r="C19" s="10">
        <f>COUNTA(Employee_DB!B3:B12)</f>
        <v/>
      </c>
      <c r="D19" s="11" t="inlineStr">
        <is>
          <t>Non-blank names</t>
        </is>
      </c>
    </row>
    <row r="20" ht="18" customHeight="1">
      <c r="B20" s="9" t="inlineStr">
        <is>
          <t>SUMIF</t>
        </is>
      </c>
      <c r="C20" s="10">
        <f>SUMIF(Employee_DB!C3:C12,"IT",Employee_DB!D3:D12)</f>
        <v/>
      </c>
      <c r="D20" s="11" t="inlineStr">
        <is>
          <t>IT Salaries</t>
        </is>
      </c>
    </row>
    <row r="21" ht="18" customHeight="1">
      <c r="B21" s="9" t="inlineStr">
        <is>
          <t>AVERAGEIF</t>
        </is>
      </c>
      <c r="C21" s="10">
        <f>AVERAGEIF(Employee_DB!C3:C12,"Sales",Employee_DB!D3:D12)</f>
        <v/>
      </c>
      <c r="D21" s="11" t="inlineStr">
        <is>
          <t>Avg Sales Salary</t>
        </is>
      </c>
    </row>
    <row r="22" ht="18" customHeight="1">
      <c r="B22" s="9" t="inlineStr">
        <is>
          <t>COUNTIF</t>
        </is>
      </c>
      <c r="C22" s="10">
        <f>COUNTIF(Employee_DB!C3:C12,"Finance")</f>
        <v/>
      </c>
      <c r="D22" s="11" t="inlineStr">
        <is>
          <t>Finance headcount</t>
        </is>
      </c>
    </row>
    <row r="23" ht="18" customHeight="1">
      <c r="B23" s="9" t="inlineStr">
        <is>
          <t>SUMIFS</t>
        </is>
      </c>
      <c r="C23" s="10">
        <f>SUMIFS(Employee_DB!D3:D12,Employee_DB!C3:C12,"IT",Employee_DB!H3:H12,"Active")</f>
        <v/>
      </c>
      <c r="D23" s="11" t="inlineStr">
        <is>
          <t>Active IT Salaries</t>
        </is>
      </c>
    </row>
    <row r="24" ht="18" customHeight="1">
      <c r="B24" s="9" t="inlineStr">
        <is>
          <t>COUNTIFS</t>
        </is>
      </c>
      <c r="C24" s="10">
        <f>COUNTIFS(Employee_DB!C3:C12,"Sales",Employee_DB!H3:H12,"Active")</f>
        <v/>
      </c>
      <c r="D24" s="11" t="inlineStr">
        <is>
          <t>Active Sales count</t>
        </is>
      </c>
    </row>
    <row r="25" ht="18" customHeight="1">
      <c r="B25" s="9" t="inlineStr">
        <is>
          <t>RANK</t>
        </is>
      </c>
      <c r="C25" s="10">
        <f>RANK(Employee_DB!D3,Employee_DB!D3:D12,0)</f>
        <v/>
      </c>
      <c r="D25" s="11" t="inlineStr">
        <is>
          <t>Rank of 1st salary</t>
        </is>
      </c>
    </row>
    <row r="26" ht="18" customHeight="1">
      <c r="B26" s="9" t="inlineStr">
        <is>
          <t>LARGE/SMALL</t>
        </is>
      </c>
      <c r="C26" s="10">
        <f>LARGE(Employee_DB!D3:D12,2)</f>
        <v/>
      </c>
      <c r="D26" s="11" t="inlineStr">
        <is>
          <t>2nd Highest Salary</t>
        </is>
      </c>
    </row>
    <row r="27" ht="18" customHeight="1">
      <c r="B27" s="9" t="inlineStr">
        <is>
          <t>STDEV</t>
        </is>
      </c>
      <c r="C27" s="10">
        <f>STDEV(Employee_DB!D3:D12)</f>
        <v/>
      </c>
      <c r="D27" s="11" t="inlineStr">
        <is>
          <t>Salary Std Dev</t>
        </is>
      </c>
    </row>
    <row r="28" ht="18" customHeight="1">
      <c r="B28" s="9" t="inlineStr">
        <is>
          <t>MEDIAN</t>
        </is>
      </c>
      <c r="C28" s="10">
        <f>MEDIAN(Employee_DB!D3:D12)</f>
        <v/>
      </c>
      <c r="D28" s="11" t="inlineStr">
        <is>
          <t>Median Salary</t>
        </is>
      </c>
    </row>
    <row r="29" ht="18" customHeight="1">
      <c r="B29" s="9" t="inlineStr">
        <is>
          <t>PERCENTILE</t>
        </is>
      </c>
      <c r="C29" s="10">
        <f>PERCENTILE(Employee_DB!D3:D12,0.75)</f>
        <v/>
      </c>
      <c r="D29" s="11" t="inlineStr">
        <is>
          <t>75th Percentile</t>
        </is>
      </c>
    </row>
    <row r="30" ht="18" customHeight="1"/>
    <row r="31" ht="18" customHeight="1">
      <c r="A31" s="2" t="inlineStr">
        <is>
          <t>C ▸ TEXT FORMULAS</t>
        </is>
      </c>
    </row>
    <row r="32" ht="18" customHeight="1">
      <c r="B32" s="8" t="inlineStr">
        <is>
          <t>Formula</t>
        </is>
      </c>
      <c r="C32" s="8" t="inlineStr">
        <is>
          <t>Description</t>
        </is>
      </c>
      <c r="D32" s="8" t="inlineStr">
        <is>
          <t>Result</t>
        </is>
      </c>
    </row>
    <row r="33" ht="18" customHeight="1">
      <c r="B33" s="9" t="inlineStr">
        <is>
          <t>CONCATENATE / &amp;</t>
        </is>
      </c>
      <c r="C33" s="10">
        <f>Employee_DB!A3&amp;" - "&amp;Employee_DB!B3</f>
        <v/>
      </c>
      <c r="D33" s="11" t="inlineStr">
        <is>
          <t>ID + Name joined</t>
        </is>
      </c>
    </row>
    <row r="34" ht="18" customHeight="1">
      <c r="B34" s="9" t="inlineStr">
        <is>
          <t>TEXTJOIN</t>
        </is>
      </c>
      <c r="C34" s="10">
        <f>TEXTJOIN(", ",TRUE,Employee_DB!C3:C12)</f>
        <v/>
      </c>
      <c r="D34" s="11" t="inlineStr">
        <is>
          <t>All departments</t>
        </is>
      </c>
    </row>
    <row r="35" ht="18" customHeight="1">
      <c r="B35" s="9" t="inlineStr">
        <is>
          <t>LEFT / RIGHT</t>
        </is>
      </c>
      <c r="C35" s="10">
        <f>LEFT(Employee_DB!B3,5)</f>
        <v/>
      </c>
      <c r="D35" s="11" t="inlineStr">
        <is>
          <t>First 5 chars of name</t>
        </is>
      </c>
    </row>
    <row r="36" ht="18" customHeight="1">
      <c r="B36" s="9" t="inlineStr">
        <is>
          <t>MID</t>
        </is>
      </c>
      <c r="C36" s="10">
        <f>MID(Employee_DB!B4,1,6)</f>
        <v/>
      </c>
      <c r="D36" s="11" t="inlineStr">
        <is>
          <t>First 6 chars</t>
        </is>
      </c>
    </row>
    <row r="37" ht="18" customHeight="1">
      <c r="B37" s="9" t="inlineStr">
        <is>
          <t>LEN</t>
        </is>
      </c>
      <c r="C37" s="10">
        <f>LEN(Employee_DB!B3)</f>
        <v/>
      </c>
      <c r="D37" s="11" t="inlineStr">
        <is>
          <t>Length of name</t>
        </is>
      </c>
    </row>
    <row r="38" ht="18" customHeight="1">
      <c r="B38" s="9" t="inlineStr">
        <is>
          <t>UPPER / LOWER</t>
        </is>
      </c>
      <c r="C38" s="10">
        <f>UPPER(Employee_DB!C3)</f>
        <v/>
      </c>
      <c r="D38" s="11" t="inlineStr">
        <is>
          <t>Dept in uppercase</t>
        </is>
      </c>
    </row>
    <row r="39" ht="18" customHeight="1">
      <c r="B39" s="9" t="inlineStr">
        <is>
          <t>TRIM</t>
        </is>
      </c>
      <c r="C39" s="10">
        <f>TRIM("  Priya Sharma  ")</f>
        <v/>
      </c>
      <c r="D39" s="11" t="inlineStr">
        <is>
          <t>Remove spaces</t>
        </is>
      </c>
    </row>
    <row r="40" ht="18" customHeight="1">
      <c r="B40" s="9" t="inlineStr">
        <is>
          <t>SUBSTITUTE</t>
        </is>
      </c>
      <c r="C40" s="10">
        <f>SUBSTITUTE(Employee_DB!B3," ","_")</f>
        <v/>
      </c>
      <c r="D40" s="11" t="inlineStr">
        <is>
          <t>Space→underscore</t>
        </is>
      </c>
    </row>
    <row r="41" ht="18" customHeight="1">
      <c r="B41" s="9" t="inlineStr">
        <is>
          <t>FIND</t>
        </is>
      </c>
      <c r="C41" s="10">
        <f>FIND(" ",Employee_DB!B3)</f>
        <v/>
      </c>
      <c r="D41" s="11" t="inlineStr">
        <is>
          <t>Position of space</t>
        </is>
      </c>
    </row>
    <row r="42" ht="18" customHeight="1">
      <c r="B42" s="9" t="inlineStr">
        <is>
          <t>TEXT</t>
        </is>
      </c>
      <c r="C42" s="10">
        <f>TEXT(Employee_DB!E3,"DD-MMM-YYYY")</f>
        <v/>
      </c>
      <c r="D42" s="11" t="inlineStr">
        <is>
          <t>Format date as text</t>
        </is>
      </c>
    </row>
    <row r="43" ht="18" customHeight="1">
      <c r="B43" s="9" t="inlineStr">
        <is>
          <t>VALUE</t>
        </is>
      </c>
      <c r="C43" s="10">
        <f>VALUE(LEFT(Employee_DB!A3,1))</f>
        <v/>
      </c>
      <c r="D43" s="11" t="inlineStr">
        <is>
          <t>Text E→number</t>
        </is>
      </c>
    </row>
    <row r="44" ht="18" customHeight="1">
      <c r="B44" s="9" t="inlineStr">
        <is>
          <t>REPT</t>
        </is>
      </c>
      <c r="C44" s="10">
        <f>REPT("★",3)</f>
        <v/>
      </c>
      <c r="D44" s="11" t="inlineStr">
        <is>
          <t>Repeat star 3 times</t>
        </is>
      </c>
    </row>
    <row r="45" ht="18" customHeight="1"/>
    <row r="46" ht="18" customHeight="1">
      <c r="A46" s="2" t="inlineStr">
        <is>
          <t>D ▸ DATE &amp; TIME FORMULAS</t>
        </is>
      </c>
    </row>
    <row r="47" ht="18" customHeight="1">
      <c r="B47" s="8" t="inlineStr">
        <is>
          <t>Formula</t>
        </is>
      </c>
      <c r="C47" s="8" t="inlineStr">
        <is>
          <t>Description</t>
        </is>
      </c>
      <c r="D47" s="8" t="inlineStr">
        <is>
          <t>Result</t>
        </is>
      </c>
    </row>
    <row r="48" ht="18" customHeight="1">
      <c r="B48" s="9" t="inlineStr">
        <is>
          <t>TODAY / NOW</t>
        </is>
      </c>
      <c r="C48" s="10">
        <f>TODAY()</f>
        <v/>
      </c>
      <c r="D48" s="11" t="inlineStr">
        <is>
          <t>Current date</t>
        </is>
      </c>
    </row>
    <row r="49" ht="18" customHeight="1">
      <c r="B49" s="9" t="inlineStr">
        <is>
          <t>YEAR/MONTH/DAY</t>
        </is>
      </c>
      <c r="C49" s="10">
        <f>YEAR(Employee_DB!E3)</f>
        <v/>
      </c>
      <c r="D49" s="11" t="inlineStr">
        <is>
          <t>Year from date</t>
        </is>
      </c>
    </row>
    <row r="50" ht="18" customHeight="1">
      <c r="B50" s="9" t="inlineStr">
        <is>
          <t>DATEDIF</t>
        </is>
      </c>
      <c r="C50" s="10">
        <f>DATEDIF(Employee_DB!E3,TODAY(),"Y")</f>
        <v/>
      </c>
      <c r="D50" s="11" t="inlineStr">
        <is>
          <t>Years of service</t>
        </is>
      </c>
    </row>
    <row r="51" ht="18" customHeight="1">
      <c r="B51" s="9" t="inlineStr">
        <is>
          <t>EDATE</t>
        </is>
      </c>
      <c r="C51" s="10">
        <f>EDATE(Employee_DB!E3,6)</f>
        <v/>
      </c>
      <c r="D51" s="11" t="inlineStr">
        <is>
          <t>6 months after join</t>
        </is>
      </c>
    </row>
    <row r="52" ht="18" customHeight="1">
      <c r="B52" s="9" t="inlineStr">
        <is>
          <t>EOMONTH</t>
        </is>
      </c>
      <c r="C52" s="10">
        <f>EOMONTH(TODAY(),0)</f>
        <v/>
      </c>
      <c r="D52" s="11" t="inlineStr">
        <is>
          <t>End of current month</t>
        </is>
      </c>
    </row>
    <row r="53" ht="18" customHeight="1">
      <c r="B53" s="9" t="inlineStr">
        <is>
          <t>NETWORKDAYS</t>
        </is>
      </c>
      <c r="C53" s="10">
        <f>NETWORKDAYS(Employee_DB!E3,TODAY())</f>
        <v/>
      </c>
      <c r="D53" s="11" t="inlineStr">
        <is>
          <t>Working days served</t>
        </is>
      </c>
    </row>
    <row r="54" ht="18" customHeight="1">
      <c r="B54" s="9" t="inlineStr">
        <is>
          <t>WEEKDAY</t>
        </is>
      </c>
      <c r="C54" s="10">
        <f>WEEKDAY(TODAY(),2)</f>
        <v/>
      </c>
      <c r="D54" s="11" t="inlineStr">
        <is>
          <t>Day of week (1=Mon)</t>
        </is>
      </c>
    </row>
    <row r="55" ht="18" customHeight="1">
      <c r="B55" s="9" t="inlineStr">
        <is>
          <t>WEEKNUM</t>
        </is>
      </c>
      <c r="C55" s="10">
        <f>WEEKNUM(TODAY())</f>
        <v/>
      </c>
      <c r="D55" s="11" t="inlineStr">
        <is>
          <t>Week number of year</t>
        </is>
      </c>
    </row>
    <row r="56" ht="18" customHeight="1">
      <c r="B56" s="9" t="inlineStr">
        <is>
          <t>DATE</t>
        </is>
      </c>
      <c r="C56" s="10">
        <f>DATE(2024,12,31)</f>
        <v/>
      </c>
      <c r="D56" s="11" t="inlineStr">
        <is>
          <t>Build a date</t>
        </is>
      </c>
    </row>
    <row r="57" ht="18" customHeight="1"/>
    <row r="58" ht="18" customHeight="1">
      <c r="A58" s="2" t="inlineStr">
        <is>
          <t>E ▸ LOGICAL / CONDITIONAL FORMULAS</t>
        </is>
      </c>
    </row>
    <row r="59" ht="18" customHeight="1">
      <c r="B59" s="8" t="inlineStr">
        <is>
          <t>Formula</t>
        </is>
      </c>
      <c r="C59" s="8" t="inlineStr">
        <is>
          <t>Description</t>
        </is>
      </c>
      <c r="D59" s="8" t="inlineStr">
        <is>
          <t>Result</t>
        </is>
      </c>
    </row>
    <row r="60" ht="18" customHeight="1">
      <c r="B60" s="9" t="inlineStr">
        <is>
          <t>IF</t>
        </is>
      </c>
      <c r="C60" s="10">
        <f>IF(Employee_DB!D3&gt;80000,"High","Standard")</f>
        <v/>
      </c>
      <c r="D60" s="11" t="inlineStr">
        <is>
          <t>Salary band</t>
        </is>
      </c>
    </row>
    <row r="61" ht="18" customHeight="1">
      <c r="B61" s="9" t="inlineStr">
        <is>
          <t>IFS</t>
        </is>
      </c>
      <c r="C61" s="10">
        <f>IFS(Employee_DB!D3&gt;90000,"Exec",Employee_DB!D3&gt;75000,"Senior",TRUE,"Junior")</f>
        <v/>
      </c>
      <c r="D61" s="11" t="inlineStr">
        <is>
          <t>Multi-tier band</t>
        </is>
      </c>
    </row>
    <row r="62" ht="18" customHeight="1">
      <c r="B62" s="9" t="inlineStr">
        <is>
          <t>AND</t>
        </is>
      </c>
      <c r="C62" s="10">
        <f>AND(Employee_DB!D3&gt;70000,Employee_DB!H3="Active")</f>
        <v/>
      </c>
      <c r="D62" s="11" t="inlineStr">
        <is>
          <t>High paid &amp; active?</t>
        </is>
      </c>
    </row>
    <row r="63" ht="18" customHeight="1">
      <c r="B63" s="9" t="inlineStr">
        <is>
          <t>OR</t>
        </is>
      </c>
      <c r="C63" s="10">
        <f>OR(Employee_DB!C3="IT",Employee_DB!C3="Finance")</f>
        <v/>
      </c>
      <c r="D63" s="11" t="inlineStr">
        <is>
          <t>IT or Finance?</t>
        </is>
      </c>
    </row>
    <row r="64" ht="18" customHeight="1">
      <c r="B64" s="9" t="inlineStr">
        <is>
          <t>NOT</t>
        </is>
      </c>
      <c r="C64" s="10">
        <f>NOT(Employee_DB!H3="Active")</f>
        <v/>
      </c>
      <c r="D64" s="11" t="inlineStr">
        <is>
          <t>Inactive check</t>
        </is>
      </c>
    </row>
    <row r="65" ht="18" customHeight="1">
      <c r="B65" s="9" t="inlineStr">
        <is>
          <t>IFERROR</t>
        </is>
      </c>
      <c r="C65" s="10">
        <f>IFERROR(VLOOKUP("E099",Employee_DB!A3:H12,2,FALSE),"Not Found")</f>
        <v/>
      </c>
      <c r="D65" s="11" t="inlineStr">
        <is>
          <t>Safe VLOOKUP</t>
        </is>
      </c>
    </row>
    <row r="66" ht="18" customHeight="1">
      <c r="B66" s="9" t="inlineStr">
        <is>
          <t>IFNA</t>
        </is>
      </c>
      <c r="C66" s="10">
        <f>IFNA(VLOOKUP("E099",Employee_DB!A3:H12,2,FALSE),"Missing")</f>
        <v/>
      </c>
      <c r="D66" s="11" t="inlineStr">
        <is>
          <t>Catch #N/A</t>
        </is>
      </c>
    </row>
    <row r="67" ht="18" customHeight="1">
      <c r="B67" s="9" t="inlineStr">
        <is>
          <t>SWITCH</t>
        </is>
      </c>
      <c r="C67" s="10">
        <f>SWITCH(Employee_DB!G3,"A+","Outstanding","A","Excellent","B+","Good","Average")</f>
        <v/>
      </c>
      <c r="D67" s="11" t="inlineStr">
        <is>
          <t>Grade label</t>
        </is>
      </c>
    </row>
    <row r="68" ht="18" customHeight="1">
      <c r="B68" s="9" t="inlineStr">
        <is>
          <t>CHOOSE</t>
        </is>
      </c>
      <c r="C68" s="10">
        <f>CHOOSE(2,"North","South","East","West")</f>
        <v/>
      </c>
      <c r="D68" s="11" t="inlineStr">
        <is>
          <t>Pick 2nd option</t>
        </is>
      </c>
    </row>
    <row r="69" ht="18" customHeight="1">
      <c r="B69" s="9" t="inlineStr">
        <is>
          <t>ISBLANK</t>
        </is>
      </c>
      <c r="C69" s="10">
        <f>ISBLANK(Employee_DB!B3)</f>
        <v/>
      </c>
      <c r="D69" s="11" t="inlineStr">
        <is>
          <t>Is name blank?</t>
        </is>
      </c>
    </row>
    <row r="70" ht="18" customHeight="1">
      <c r="B70" s="9" t="inlineStr">
        <is>
          <t>ISNUMBER</t>
        </is>
      </c>
      <c r="C70" s="10">
        <f>ISNUMBER(Employee_DB!D3)</f>
        <v/>
      </c>
      <c r="D70" s="11" t="inlineStr">
        <is>
          <t>Is salary a number?</t>
        </is>
      </c>
    </row>
    <row r="71" ht="18" customHeight="1"/>
  </sheetData>
  <mergeCells count="6">
    <mergeCell ref="A3:H3"/>
    <mergeCell ref="A13:H13"/>
    <mergeCell ref="A1:H1"/>
    <mergeCell ref="A46:H46"/>
    <mergeCell ref="A31:H31"/>
    <mergeCell ref="A58:H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4" customWidth="1" min="5" max="5"/>
    <col width="14" customWidth="1" min="6" max="6"/>
    <col width="16" customWidth="1" min="7" max="7"/>
    <col width="12" customWidth="1" min="8" max="8"/>
    <col width="16" customWidth="1" min="9" max="9"/>
  </cols>
  <sheetData>
    <row r="1" ht="32" customHeight="1">
      <c r="A1" s="1" t="inlineStr">
        <is>
          <t>📊  PIVOT-STYLE DASHBOARD  (SUMIFS / COUNTIFS based)</t>
        </is>
      </c>
    </row>
    <row r="3">
      <c r="A3" s="2" t="inlineStr">
        <is>
          <t>Revenue by Region</t>
        </is>
      </c>
      <c r="F3" s="2" t="inlineStr">
        <is>
          <t>Revenue by Product</t>
        </is>
      </c>
    </row>
    <row r="4">
      <c r="A4" s="8" t="inlineStr">
        <is>
          <t>Region</t>
        </is>
      </c>
      <c r="B4" s="8" t="inlineStr">
        <is>
          <t>Total Revenue</t>
        </is>
      </c>
      <c r="C4" s="8" t="inlineStr">
        <is>
          <t># Deals</t>
        </is>
      </c>
      <c r="D4" s="8" t="inlineStr">
        <is>
          <t>Avg Deal Size</t>
        </is>
      </c>
      <c r="F4" s="8" t="inlineStr">
        <is>
          <t>Product</t>
        </is>
      </c>
      <c r="G4" s="8" t="inlineStr">
        <is>
          <t>Total Revenue</t>
        </is>
      </c>
      <c r="H4" s="8" t="inlineStr">
        <is>
          <t>Units Sold</t>
        </is>
      </c>
      <c r="I4" s="8" t="inlineStr">
        <is>
          <t>Avg Price/Unit</t>
        </is>
      </c>
    </row>
    <row r="5">
      <c r="A5" s="12" t="inlineStr">
        <is>
          <t>North</t>
        </is>
      </c>
      <c r="B5" s="13">
        <f>SUMIF(Sales_Data!B3:B20,A5,Sales_Data!F3:F20)</f>
        <v/>
      </c>
      <c r="C5" s="14">
        <f>COUNTIF(Sales_Data!B3:B20,A5)</f>
        <v/>
      </c>
      <c r="D5" s="13">
        <f>IFERROR(B5/C5,0)</f>
        <v/>
      </c>
      <c r="F5" s="12" t="inlineStr">
        <is>
          <t>Laptop</t>
        </is>
      </c>
      <c r="G5" s="13">
        <f>SUMIF(Sales_Data!C3:C20,F5,Sales_Data!F3:F20)</f>
        <v/>
      </c>
      <c r="H5" s="14">
        <f>SUMIF(Sales_Data!C3:C20,F5,Sales_Data!E3:E20)</f>
        <v/>
      </c>
      <c r="I5" s="13">
        <f>IFERROR(G5/H5,0)</f>
        <v/>
      </c>
    </row>
    <row r="6">
      <c r="A6" s="15" t="inlineStr">
        <is>
          <t>South</t>
        </is>
      </c>
      <c r="B6" s="16">
        <f>SUMIF(Sales_Data!B3:B20,A6,Sales_Data!F3:F20)</f>
        <v/>
      </c>
      <c r="C6" s="17">
        <f>COUNTIF(Sales_Data!B3:B20,A6)</f>
        <v/>
      </c>
      <c r="D6" s="16">
        <f>IFERROR(B6/C6,0)</f>
        <v/>
      </c>
      <c r="F6" s="18" t="inlineStr">
        <is>
          <t>Phone</t>
        </is>
      </c>
      <c r="G6" s="19">
        <f>SUMIF(Sales_Data!C3:C20,F6,Sales_Data!F3:F20)</f>
        <v/>
      </c>
      <c r="H6" s="20">
        <f>SUMIF(Sales_Data!C3:C20,F6,Sales_Data!E3:E20)</f>
        <v/>
      </c>
      <c r="I6" s="19">
        <f>IFERROR(G6/H6,0)</f>
        <v/>
      </c>
    </row>
    <row r="7">
      <c r="A7" s="12" t="inlineStr">
        <is>
          <t>East</t>
        </is>
      </c>
      <c r="B7" s="13">
        <f>SUMIF(Sales_Data!B3:B20,A7,Sales_Data!F3:F20)</f>
        <v/>
      </c>
      <c r="C7" s="14">
        <f>COUNTIF(Sales_Data!B3:B20,A7)</f>
        <v/>
      </c>
      <c r="D7" s="13">
        <f>IFERROR(B7/C7,0)</f>
        <v/>
      </c>
      <c r="F7" s="12" t="inlineStr">
        <is>
          <t>Tablet</t>
        </is>
      </c>
      <c r="G7" s="13">
        <f>SUMIF(Sales_Data!C3:C20,F7,Sales_Data!F3:F20)</f>
        <v/>
      </c>
      <c r="H7" s="14">
        <f>SUMIF(Sales_Data!C3:C20,F7,Sales_Data!E3:E20)</f>
        <v/>
      </c>
      <c r="I7" s="13">
        <f>IFERROR(G7/H7,0)</f>
        <v/>
      </c>
    </row>
    <row r="8">
      <c r="A8" s="15" t="inlineStr">
        <is>
          <t>West</t>
        </is>
      </c>
      <c r="B8" s="16">
        <f>SUMIF(Sales_Data!B3:B20,A8,Sales_Data!F3:F20)</f>
        <v/>
      </c>
      <c r="C8" s="17">
        <f>COUNTIF(Sales_Data!B3:B20,A8)</f>
        <v/>
      </c>
      <c r="D8" s="16">
        <f>IFERROR(B8/C8,0)</f>
        <v/>
      </c>
    </row>
    <row r="10">
      <c r="A10" s="2" t="inlineStr">
        <is>
          <t>Monthly Revenue Summary</t>
        </is>
      </c>
      <c r="F10" s="2" t="inlineStr">
        <is>
          <t>Key KPIs</t>
        </is>
      </c>
    </row>
    <row r="11">
      <c r="A11" s="8" t="inlineStr">
        <is>
          <t>Month</t>
        </is>
      </c>
      <c r="B11" s="8" t="inlineStr">
        <is>
          <t>Total Revenue</t>
        </is>
      </c>
      <c r="C11" s="8" t="inlineStr">
        <is>
          <t>Deals</t>
        </is>
      </c>
      <c r="D11" s="8" t="inlineStr">
        <is>
          <t>% of Total</t>
        </is>
      </c>
      <c r="F11" s="21" t="inlineStr">
        <is>
          <t>Total Revenue</t>
        </is>
      </c>
      <c r="G11" s="22">
        <f>SUM(Sales_Data!F3:F20)</f>
        <v/>
      </c>
    </row>
    <row r="12">
      <c r="A12" s="23" t="inlineStr">
        <is>
          <t>Jan</t>
        </is>
      </c>
      <c r="B12" s="24">
        <f>SUMIF(Sales_Data!A3:A20,A12,Sales_Data!F3:F20)</f>
        <v/>
      </c>
      <c r="C12" s="25">
        <f>COUNTIF(Sales_Data!A3:A20,A12)</f>
        <v/>
      </c>
      <c r="D12" s="26">
        <f>IFERROR(B12/SUM(B12:B17),0)</f>
        <v/>
      </c>
      <c r="F12" s="21" t="inlineStr">
        <is>
          <t>Total Units Sold</t>
        </is>
      </c>
      <c r="G12" s="27">
        <f>SUM(Sales_Data!E3:E20)</f>
        <v/>
      </c>
    </row>
    <row r="13">
      <c r="A13" s="12" t="inlineStr">
        <is>
          <t>Feb</t>
        </is>
      </c>
      <c r="B13" s="13">
        <f>SUMIF(Sales_Data!A3:A20,A13,Sales_Data!F3:F20)</f>
        <v/>
      </c>
      <c r="C13" s="14">
        <f>COUNTIF(Sales_Data!A3:A20,A13)</f>
        <v/>
      </c>
      <c r="D13" s="28">
        <f>IFERROR(B13/SUM(B12:B17),0)</f>
        <v/>
      </c>
      <c r="F13" s="21" t="inlineStr">
        <is>
          <t>Avg Revenue/Deal</t>
        </is>
      </c>
      <c r="G13" s="22">
        <f>AVERAGE(Sales_Data!F3:F20)</f>
        <v/>
      </c>
    </row>
    <row r="14">
      <c r="A14" s="23" t="inlineStr">
        <is>
          <t>Mar</t>
        </is>
      </c>
      <c r="B14" s="24">
        <f>SUMIF(Sales_Data!A3:A20,A14,Sales_Data!F3:F20)</f>
        <v/>
      </c>
      <c r="C14" s="25">
        <f>COUNTIF(Sales_Data!A3:A20,A14)</f>
        <v/>
      </c>
      <c r="D14" s="26">
        <f>IFERROR(B14/SUM(B12:B17),0)</f>
        <v/>
      </c>
      <c r="F14" s="21" t="inlineStr">
        <is>
          <t>Max Single Deal</t>
        </is>
      </c>
      <c r="G14" s="22">
        <f>MAX(Sales_Data!F3:F20)</f>
        <v/>
      </c>
    </row>
    <row r="15">
      <c r="A15" s="12" t="inlineStr">
        <is>
          <t>Apr</t>
        </is>
      </c>
      <c r="B15" s="13">
        <f>SUMIF(Sales_Data!A3:A20,A15,Sales_Data!F3:F20)</f>
        <v/>
      </c>
      <c r="C15" s="14">
        <f>COUNTIF(Sales_Data!A3:A20,A15)</f>
        <v/>
      </c>
      <c r="D15" s="28">
        <f>IFERROR(B15/SUM(B12:B17),0)</f>
        <v/>
      </c>
      <c r="F15" s="21" t="inlineStr">
        <is>
          <t>Min Single Deal</t>
        </is>
      </c>
      <c r="G15" s="22">
        <f>MIN(Sales_Data!F3:F20)</f>
        <v/>
      </c>
    </row>
    <row r="16">
      <c r="A16" s="23" t="inlineStr">
        <is>
          <t>May</t>
        </is>
      </c>
      <c r="B16" s="24">
        <f>SUMIF(Sales_Data!A3:A20,A16,Sales_Data!F3:F20)</f>
        <v/>
      </c>
      <c r="C16" s="25">
        <f>COUNTIF(Sales_Data!A3:A20,A16)</f>
        <v/>
      </c>
      <c r="D16" s="26">
        <f>IFERROR(B16/SUM(B12:B17),0)</f>
        <v/>
      </c>
      <c r="F16" s="21" t="inlineStr">
        <is>
          <t># Transactions</t>
        </is>
      </c>
      <c r="G16" s="27">
        <f>COUNTA(Sales_Data!A3:A20)</f>
        <v/>
      </c>
    </row>
    <row r="17">
      <c r="A17" s="12" t="inlineStr">
        <is>
          <t>Jun</t>
        </is>
      </c>
      <c r="B17" s="13">
        <f>SUMIF(Sales_Data!A3:A20,A17,Sales_Data!F3:F20)</f>
        <v/>
      </c>
      <c r="C17" s="14">
        <f>COUNTIF(Sales_Data!A3:A20,A17)</f>
        <v/>
      </c>
      <c r="D17" s="28">
        <f>IFERROR(B17/SUM(B12:B17),0)</f>
        <v/>
      </c>
      <c r="F17" s="21" t="inlineStr">
        <is>
          <t>Top Region</t>
        </is>
      </c>
      <c r="G17" s="29">
        <f>INDEX(Sales_Data!B3:B20,MATCH(MAX(Sales_Data!F3:F20),Sales_Data!F3:F20,0))</f>
        <v/>
      </c>
    </row>
    <row r="18">
      <c r="F18" s="21" t="inlineStr">
        <is>
          <t>Top Product</t>
        </is>
      </c>
      <c r="G18" s="29">
        <f>INDEX(Sales_Data!C3:C20,MATCH(MAX(Sales_Data!F3:F20),Sales_Data!F3:F20,0))</f>
        <v/>
      </c>
    </row>
  </sheetData>
  <mergeCells count="5">
    <mergeCell ref="F3:I3"/>
    <mergeCell ref="A3:D3"/>
    <mergeCell ref="A1:L1"/>
    <mergeCell ref="A10:D10"/>
    <mergeCell ref="F10:I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0" customWidth="1" min="3" max="3"/>
  </cols>
  <sheetData>
    <row r="1" ht="20" customHeight="1">
      <c r="A1" s="1" t="inlineStr">
        <is>
          <t>⚡  ARRAY &amp; ADVANCED FORMULAS</t>
        </is>
      </c>
    </row>
    <row r="2" ht="20" customHeight="1"/>
    <row r="3" ht="20" customHeight="1">
      <c r="A3" s="2" t="inlineStr">
        <is>
          <t>ARRAY FORMULAS</t>
        </is>
      </c>
    </row>
    <row r="4" ht="20" customHeight="1">
      <c r="A4" s="8" t="inlineStr">
        <is>
          <t>Formula Name</t>
        </is>
      </c>
      <c r="B4" s="8" t="inlineStr">
        <is>
          <t>Formula</t>
        </is>
      </c>
      <c r="C4" s="8" t="inlineStr">
        <is>
          <t>Description</t>
        </is>
      </c>
    </row>
    <row r="5" ht="20" customHeight="1">
      <c r="A5" s="30" t="inlineStr">
        <is>
          <t>UNIQUE Depts</t>
        </is>
      </c>
      <c r="B5" s="31">
        <f>UNIQUE(Employee_DB!C3:C12)</f>
        <v/>
      </c>
      <c r="C5" s="32" t="inlineStr">
        <is>
          <t>Distinct dept list</t>
        </is>
      </c>
    </row>
    <row r="6" ht="20" customHeight="1">
      <c r="A6" s="33" t="inlineStr">
        <is>
          <t>SORT by Salary</t>
        </is>
      </c>
      <c r="B6" s="34">
        <f>SORT(Employee_DB!D3:D12,1,-1)</f>
        <v/>
      </c>
      <c r="C6" s="35" t="inlineStr">
        <is>
          <t>Salaries desc order</t>
        </is>
      </c>
    </row>
    <row r="7" ht="20" customHeight="1">
      <c r="A7" s="30" t="inlineStr">
        <is>
          <t>FILTER Active</t>
        </is>
      </c>
      <c r="B7" s="31">
        <f>FILTER(Employee_DB!B3:B12,Employee_DB!H3:H12="Active","None")</f>
        <v/>
      </c>
      <c r="C7" s="32" t="inlineStr">
        <is>
          <t>Active emp names</t>
        </is>
      </c>
    </row>
    <row r="8" ht="20" customHeight="1">
      <c r="A8" s="33" t="inlineStr">
        <is>
          <t>SEQUENCE 1-10</t>
        </is>
      </c>
      <c r="B8" s="34">
        <f>SEQUENCE(10)</f>
        <v/>
      </c>
      <c r="C8" s="35" t="inlineStr">
        <is>
          <t>Numbers 1 to 10</t>
        </is>
      </c>
    </row>
    <row r="9" ht="20" customHeight="1"/>
    <row r="10" ht="20" customHeight="1">
      <c r="A10" s="2" t="inlineStr">
        <is>
          <t>FINANCIAL FORMULAS</t>
        </is>
      </c>
    </row>
    <row r="11" ht="20" customHeight="1">
      <c r="A11" s="8" t="inlineStr">
        <is>
          <t>Formula Name</t>
        </is>
      </c>
      <c r="B11" s="8" t="inlineStr">
        <is>
          <t>Formula</t>
        </is>
      </c>
      <c r="C11" s="8" t="inlineStr">
        <is>
          <t>Description</t>
        </is>
      </c>
    </row>
    <row r="12" ht="20" customHeight="1">
      <c r="A12" s="33" t="inlineStr">
        <is>
          <t>PMT (Loan EMI)</t>
        </is>
      </c>
      <c r="B12" s="34">
        <f>PMT(8%/12,60,500000)</f>
        <v/>
      </c>
      <c r="C12" s="35" t="inlineStr">
        <is>
          <t>₹5L loan 5yr @8%</t>
        </is>
      </c>
    </row>
    <row r="13" ht="20" customHeight="1">
      <c r="A13" s="30" t="inlineStr">
        <is>
          <t>FV (Future Value)</t>
        </is>
      </c>
      <c r="B13" s="31">
        <f>FV(12%/12,120,-5000,0)</f>
        <v/>
      </c>
      <c r="C13" s="32" t="inlineStr">
        <is>
          <t>SIP FV 10yr @12%</t>
        </is>
      </c>
    </row>
    <row r="14" ht="20" customHeight="1">
      <c r="A14" s="33" t="inlineStr">
        <is>
          <t>NPV</t>
        </is>
      </c>
      <c r="B14" s="34">
        <f>NPV(10%,50000,60000,70000,80000)</f>
        <v/>
      </c>
      <c r="C14" s="35" t="inlineStr">
        <is>
          <t>NPV @10% disc rate</t>
        </is>
      </c>
    </row>
    <row r="15" ht="20" customHeight="1">
      <c r="A15" s="30" t="inlineStr">
        <is>
          <t>IRR</t>
        </is>
      </c>
      <c r="B15" s="31">
        <f>IRR({-100000,30000,40000,50000,60000})</f>
        <v/>
      </c>
      <c r="C15" s="32" t="inlineStr">
        <is>
          <t>IRR of cash flows</t>
        </is>
      </c>
    </row>
    <row r="16" ht="20" customHeight="1">
      <c r="A16" s="33" t="inlineStr">
        <is>
          <t>PV (Present Value)</t>
        </is>
      </c>
      <c r="B16" s="34">
        <f>PV(8%/12,60,10000)</f>
        <v/>
      </c>
      <c r="C16" s="35" t="inlineStr">
        <is>
          <t>PV of ₹10k/mo 5yr</t>
        </is>
      </c>
    </row>
    <row r="17" ht="20" customHeight="1"/>
    <row r="18" ht="20" customHeight="1">
      <c r="A18" s="2" t="inlineStr">
        <is>
          <t>DYNAMIC ARRAY / MISC</t>
        </is>
      </c>
    </row>
    <row r="19" ht="20" customHeight="1">
      <c r="A19" s="8" t="inlineStr">
        <is>
          <t>Formula Name</t>
        </is>
      </c>
      <c r="B19" s="8" t="inlineStr">
        <is>
          <t>Formula</t>
        </is>
      </c>
      <c r="C19" s="8" t="inlineStr">
        <is>
          <t>Description</t>
        </is>
      </c>
    </row>
    <row r="20" ht="20" customHeight="1">
      <c r="A20" s="33" t="inlineStr">
        <is>
          <t>TRANSPOSE</t>
        </is>
      </c>
      <c r="B20" s="34">
        <f>TRANSPOSE(Employee_DB!A2:C2)</f>
        <v/>
      </c>
      <c r="C20" s="35" t="inlineStr">
        <is>
          <t>Flip row to column</t>
        </is>
      </c>
    </row>
    <row r="21" ht="20" customHeight="1">
      <c r="A21" s="30" t="inlineStr">
        <is>
          <t>FREQUENCY</t>
        </is>
      </c>
      <c r="B21" s="31">
        <f>FREQUENCY(Employee_DB!D3:D12,{65000,75000,90000})</f>
        <v/>
      </c>
      <c r="C21" s="32" t="inlineStr">
        <is>
          <t>Salary distribution</t>
        </is>
      </c>
    </row>
    <row r="22" ht="20" customHeight="1">
      <c r="A22" s="33" t="inlineStr">
        <is>
          <t>MMULT</t>
        </is>
      </c>
      <c r="B22" s="34">
        <f>MMULT({1,2,3},{4;5;6})</f>
        <v/>
      </c>
      <c r="C22" s="35" t="inlineStr">
        <is>
          <t>Matrix multiply</t>
        </is>
      </c>
    </row>
    <row r="23" ht="20" customHeight="1">
      <c r="A23" s="30" t="inlineStr">
        <is>
          <t>LET (Named vars)</t>
        </is>
      </c>
      <c r="B23" s="31">
        <f>LET(sal,Employee_DB!D3:D12,avg,AVERAGE(sal),COUNTIF(sal,"&gt;"&amp;avg))</f>
        <v/>
      </c>
      <c r="C23" s="32" t="inlineStr">
        <is>
          <t>Above avg count</t>
        </is>
      </c>
    </row>
    <row r="24" ht="20" customHeight="1">
      <c r="A24" s="33" t="inlineStr">
        <is>
          <t>LAMBDA concept</t>
        </is>
      </c>
      <c r="B24" s="34">
        <f>MAP(Employee_DB!D3:D5,LAMBDA(x,x*1.1))</f>
        <v/>
      </c>
      <c r="C24" s="35" t="inlineStr">
        <is>
          <t>10% raise for top 3</t>
        </is>
      </c>
    </row>
    <row r="25" ht="20" customHeight="1"/>
  </sheetData>
  <mergeCells count="4">
    <mergeCell ref="A3:F3"/>
    <mergeCell ref="A1:F1"/>
    <mergeCell ref="A18:F18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</cols>
  <sheetData>
    <row r="1" ht="32" customHeight="1">
      <c r="A1" s="1" t="inlineStr">
        <is>
          <t>📖  HOW TO USE THIS WORKBOOK</t>
        </is>
      </c>
    </row>
    <row r="3" ht="40" customHeight="1">
      <c r="A3" s="36" t="inlineStr">
        <is>
          <t>SHEET</t>
        </is>
      </c>
      <c r="B3" s="36" t="inlineStr">
        <is>
          <t>WHAT IT CONTAINS</t>
        </is>
      </c>
      <c r="C3" s="36" t="inlineStr">
        <is>
          <t>HOW TO USE</t>
        </is>
      </c>
    </row>
    <row r="4" ht="40" customHeight="1">
      <c r="A4" s="37" t="inlineStr">
        <is>
          <t>Employee_DB</t>
        </is>
      </c>
      <c r="B4" s="38" t="inlineStr">
        <is>
          <t>10 sample employees with ID, name, dept, salary, join date, region, grade, status</t>
        </is>
      </c>
      <c r="C4" s="38" t="inlineStr">
        <is>
          <t>Source data for VLOOKUP, XLOOKUP, INDEX-MATCH. Add/edit rows to see formulas update.</t>
        </is>
      </c>
    </row>
    <row r="5" ht="40" customHeight="1">
      <c r="A5" s="39" t="inlineStr">
        <is>
          <t>Sales_Data</t>
        </is>
      </c>
      <c r="B5" s="40" t="inlineStr">
        <is>
          <t>18 sales transactions across 6 months, 4 regions, 3 products</t>
        </is>
      </c>
      <c r="C5" s="40" t="inlineStr">
        <is>
          <t>Source data for SUMIF/COUNTIF pivot tables in Dashboard sheet.</t>
        </is>
      </c>
    </row>
    <row r="6" ht="40" customHeight="1">
      <c r="A6" s="37" t="inlineStr">
        <is>
          <t>Formula_Playground</t>
        </is>
      </c>
      <c r="B6" s="38" t="inlineStr">
        <is>
          <t>5 sections (A–E) covering 60+ formulas: Lookups, Math, Text, Date, Logic</t>
        </is>
      </c>
      <c r="C6" s="38" t="inlineStr">
        <is>
          <t>Each row shows formula name → formula text (purple) → description. Study &amp; copy formulas.</t>
        </is>
      </c>
    </row>
    <row r="7" ht="40" customHeight="1">
      <c r="A7" s="39" t="inlineStr">
        <is>
          <t>Pivot_Dashboard</t>
        </is>
      </c>
      <c r="B7" s="40" t="inlineStr">
        <is>
          <t>SUMIFS/COUNTIFS-based pivot tables: by Region, Product, Month + KPI panel</t>
        </is>
      </c>
      <c r="C7" s="40" t="inlineStr">
        <is>
          <t>Demonstrates how to summarize data without using Pivot Table UI. Change source data to refresh.</t>
        </is>
      </c>
    </row>
    <row r="8" ht="40" customHeight="1">
      <c r="A8" s="37" t="inlineStr">
        <is>
          <t>Array_Advanced</t>
        </is>
      </c>
      <c r="B8" s="38" t="inlineStr">
        <is>
          <t>Array formulas (UNIQUE, FILTER, SORT), Financial (PMT, FV, NPV, IRR), LET, LAMBDA</t>
        </is>
      </c>
      <c r="C8" s="38" t="inlineStr">
        <is>
          <t>Advanced formulas for modern Excel (365/2021). Some require Ctrl+Shift+Enter in older versions.</t>
        </is>
      </c>
    </row>
    <row r="9" ht="40" customHeight="1">
      <c r="A9" s="39" t="inlineStr">
        <is>
          <t>How_To_Guide</t>
        </is>
      </c>
      <c r="B9" s="40" t="inlineStr">
        <is>
          <t>This instruction sheet</t>
        </is>
      </c>
      <c r="C9" s="40" t="inlineStr">
        <is>
          <t>Reference guide on formula usage and sheet structure.</t>
        </is>
      </c>
    </row>
    <row r="10" ht="40" customHeight="1"/>
    <row r="11" ht="40" customHeight="1"/>
    <row r="12" ht="40" customHeight="1">
      <c r="A12" s="2" t="n">
        <v>11</v>
      </c>
    </row>
    <row r="13" ht="40" customHeight="1">
      <c r="A13" s="41" t="inlineStr">
        <is>
          <t>F2 Key</t>
        </is>
      </c>
      <c r="B13" s="40" t="inlineStr">
        <is>
          <t>Enter cell edit mode to see formula references highlighted in color.</t>
        </is>
      </c>
    </row>
    <row r="14" ht="40" customHeight="1">
      <c r="A14" s="42" t="inlineStr">
        <is>
          <t>F4 Key</t>
        </is>
      </c>
      <c r="B14" s="43" t="inlineStr">
        <is>
          <t>Toggle between relative/absolute references (A1 → $A$1 → A$1 → $A1).</t>
        </is>
      </c>
    </row>
    <row r="15" ht="40" customHeight="1">
      <c r="A15" s="41" t="inlineStr">
        <is>
          <t>Ctrl+`</t>
        </is>
      </c>
      <c r="B15" s="40" t="inlineStr">
        <is>
          <t>Toggle Show Formulas mode to see all formulas at once.</t>
        </is>
      </c>
    </row>
    <row r="16" ht="40" customHeight="1">
      <c r="A16" s="42" t="inlineStr">
        <is>
          <t>Ctrl+Shift+Enter</t>
        </is>
      </c>
      <c r="B16" s="43" t="inlineStr">
        <is>
          <t>Required for array formulas in Excel 2019 and older.</t>
        </is>
      </c>
    </row>
    <row r="17" ht="40" customHeight="1">
      <c r="A17" s="41" t="inlineStr">
        <is>
          <t>Name Manager</t>
        </is>
      </c>
      <c r="B17" s="40" t="inlineStr">
        <is>
          <t>Formulas → Name Manager — create named ranges for cleaner formulas.</t>
        </is>
      </c>
    </row>
    <row r="18" ht="40" customHeight="1">
      <c r="A18" s="42" t="inlineStr">
        <is>
          <t>Evaluate Formula</t>
        </is>
      </c>
      <c r="B18" s="43" t="inlineStr">
        <is>
          <t>Formulas → Evaluate Formula — step through complex formula logic.</t>
        </is>
      </c>
    </row>
    <row r="19" ht="40" customHeight="1">
      <c r="A19" s="41" t="inlineStr">
        <is>
          <t>Watch Window</t>
        </is>
      </c>
      <c r="B19" s="40" t="inlineStr">
        <is>
          <t>Formulas → Watch Window — monitor key cells while scrolling.</t>
        </is>
      </c>
    </row>
    <row r="20" ht="40" customHeight="1">
      <c r="A20" s="42" t="inlineStr">
        <is>
          <t>Error Checking</t>
        </is>
      </c>
      <c r="B20" s="43" t="inlineStr">
        <is>
          <t>Formulas → Error Checking — auto-detect formula issues.</t>
        </is>
      </c>
    </row>
    <row r="21" ht="40" customHeight="1">
      <c r="A21" s="41" t="inlineStr">
        <is>
          <t>IFERROR Wrapper</t>
        </is>
      </c>
      <c r="B21" s="40" t="inlineStr">
        <is>
          <t>Wrap any risky formula: =IFERROR(your_formula, 'Error') for cleaner output.</t>
        </is>
      </c>
    </row>
    <row r="22" ht="40" customHeight="1">
      <c r="A22" s="42" t="inlineStr">
        <is>
          <t>Absolute Refs</t>
        </is>
      </c>
      <c r="B22" s="43" t="inlineStr">
        <is>
          <t>Use $A$1 in SUMIF/VLOOKUP ranges to safely copy formulas down/across.</t>
        </is>
      </c>
    </row>
    <row r="23" ht="40" customHeight="1"/>
    <row r="24" ht="40" customHeight="1"/>
  </sheetData>
  <mergeCells count="12">
    <mergeCell ref="B13:C13"/>
    <mergeCell ref="B21:C21"/>
    <mergeCell ref="B16:C16"/>
    <mergeCell ref="B15:C15"/>
    <mergeCell ref="A1:C1"/>
    <mergeCell ref="B19:C19"/>
    <mergeCell ref="B20:C20"/>
    <mergeCell ref="B22:C22"/>
    <mergeCell ref="B14:C14"/>
    <mergeCell ref="B17:C17"/>
    <mergeCell ref="A12:C12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2026-04-24T08:20:13Z</dcterms:created>
  <dcterms:modified xmlns:dcterms="http://purl.org/dc/terms/" xmlns:xsi="http://www.w3.org/2001/XMLSchema-instance" xsi:type="dcterms:W3CDTF">2026-04-24T08:20:13Z</dcterms:modified>
</cp:coreProperties>
</file>